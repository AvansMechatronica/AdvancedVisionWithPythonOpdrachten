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4" max="4"/>
    <col width="34" customWidth="1" min="5" max="5"/>
  </cols>
  <sheetData>
    <row r="1">
      <c r="A1" t="inlineStr">
        <is>
          <t>Editable inputs (units: mm unless noted)</t>
        </is>
      </c>
    </row>
    <row r="2">
      <c r="D2" t="inlineStr">
        <is>
          <t>Computed results</t>
        </is>
      </c>
    </row>
    <row r="3">
      <c r="A3" t="inlineStr">
        <is>
          <t>Focal length f (mm)</t>
        </is>
      </c>
      <c r="B3" t="n">
        <v>25</v>
      </c>
      <c r="D3" t="inlineStr">
        <is>
          <t>Image distance s' (mm)</t>
        </is>
      </c>
      <c r="E3">
        <f>IF(ABS(1/B3 - 1/B6)&lt;1e-12, "#DIV/0!", 1/(1/B3 - 1/B6))</f>
        <v/>
      </c>
    </row>
    <row r="4">
      <c r="A4" t="inlineStr">
        <is>
          <t>Sensor width (mm)</t>
        </is>
      </c>
      <c r="B4" t="n">
        <v>6.4</v>
      </c>
      <c r="D4" t="inlineStr">
        <is>
          <t>Magnification M</t>
        </is>
      </c>
      <c r="E4">
        <f>IF(ISNUMBER(E3), E3/B6, "#N/A")</f>
        <v/>
      </c>
    </row>
    <row r="5">
      <c r="A5" t="inlineStr">
        <is>
          <t>Sensor height (mm)</t>
        </is>
      </c>
      <c r="B5" t="n">
        <v>4.8</v>
      </c>
      <c r="D5" t="inlineStr">
        <is>
          <t>FOV horizontal (deg)</t>
        </is>
      </c>
      <c r="E5">
        <f>2*DEGREES(ATAN(B4/(2*B3)))</f>
        <v/>
      </c>
    </row>
    <row r="6">
      <c r="A6" t="inlineStr">
        <is>
          <t>Object distance s (mm)</t>
        </is>
      </c>
      <c r="B6" t="n">
        <v>500</v>
      </c>
      <c r="D6" t="inlineStr">
        <is>
          <t>FOV vertical (deg)</t>
        </is>
      </c>
      <c r="E6">
        <f>2*DEGREES(ATAN(B5/(2*B3)))</f>
        <v/>
      </c>
    </row>
    <row r="7">
      <c r="A7" t="inlineStr">
        <is>
          <t>f-number N</t>
        </is>
      </c>
      <c r="B7" t="n">
        <v>4</v>
      </c>
      <c r="D7" t="inlineStr">
        <is>
          <t>FOV diagonal (deg)</t>
        </is>
      </c>
      <c r="E7">
        <f>2*DEGREES(ATAN(SQRT(B4^2 + B5^2)/(2*B3)))</f>
        <v/>
      </c>
    </row>
    <row r="8">
      <c r="A8" t="inlineStr">
        <is>
          <t>Wavelength (nm)</t>
        </is>
      </c>
      <c r="B8" t="n">
        <v>550</v>
      </c>
      <c r="D8" t="inlineStr">
        <is>
          <t>Aperture diameter D (mm)</t>
        </is>
      </c>
      <c r="E8">
        <f>B3/B7</f>
        <v/>
      </c>
    </row>
    <row r="9">
      <c r="A9" t="inlineStr">
        <is>
          <t>Circle of confusion c (mm)</t>
        </is>
      </c>
      <c r="B9" t="n">
        <v>0.02</v>
      </c>
      <c r="D9" t="inlineStr">
        <is>
          <t>Airy disk diameter (mm)</t>
        </is>
      </c>
      <c r="E9">
        <f>2.44*(B8*1E-6)*B7</f>
        <v/>
      </c>
    </row>
    <row r="10">
      <c r="A10" t="inlineStr">
        <is>
          <t>Pixel size (mm)</t>
        </is>
      </c>
      <c r="B10" t="n">
        <v>0.0022</v>
      </c>
      <c r="D10" t="inlineStr">
        <is>
          <t>Airy disk diameter (pixels)</t>
        </is>
      </c>
      <c r="E10">
        <f>IF(B10&gt;0, E9/B10, "#N/A")</f>
        <v/>
      </c>
    </row>
    <row r="11">
      <c r="A11" t="inlineStr">
        <is>
          <t>Lens transmission (0..1) optional</t>
        </is>
      </c>
      <c r="B11" t="n">
        <v>1</v>
      </c>
      <c r="D11" t="inlineStr">
        <is>
          <t>Hyperfocal H (mm)</t>
        </is>
      </c>
      <c r="E11">
        <f>(B3^2)/(B7*B9) + B3</f>
        <v/>
      </c>
    </row>
    <row r="12">
      <c r="D12" t="inlineStr">
        <is>
          <t>Near DOF point (mm)</t>
        </is>
      </c>
      <c r="E12">
        <f>IF(E11+ (B6 - B3)=0, "#DIV/0!", (E11*B6)/(E11 + (B6 - B3)))</f>
        <v/>
      </c>
    </row>
    <row r="13">
      <c r="A13" t="inlineStr">
        <is>
          <t>Scene width at object distance (mm)</t>
        </is>
      </c>
      <c r="B13" t="n">
        <v>1000</v>
      </c>
      <c r="D13" t="inlineStr">
        <is>
          <t>Required magnification for detail (M_req)</t>
        </is>
      </c>
      <c r="E13">
        <f>IF(B14&lt;=0, "#N/A", ( B15 * IF(B16&lt;&gt;"", B16, B10) ) / B14 )</f>
        <v/>
      </c>
    </row>
    <row r="14">
      <c r="A14" t="inlineStr">
        <is>
          <t>Smallest detail size in scene (mm)</t>
        </is>
      </c>
      <c r="B14" t="n">
        <v>5</v>
      </c>
      <c r="D14" t="inlineStr">
        <is>
          <t>Achievable magnification (M = s'/s)</t>
        </is>
      </c>
      <c r="E14">
        <f>IF(ABS(1/B3 - 1/B6)&lt;1e-12, "Inf", 1/(1/B3 - 1/B6)/B6)</f>
        <v/>
      </c>
    </row>
    <row r="15">
      <c r="A15" t="inlineStr">
        <is>
          <t>Required pixels per detail</t>
        </is>
      </c>
      <c r="B15" t="n">
        <v>2</v>
      </c>
      <c r="D15" t="inlineStr">
        <is>
          <t>Required sensor width to capture scene (mm)</t>
        </is>
      </c>
      <c r="E15">
        <f>IF(E14="Inf", "Inf", E14 * B13)</f>
        <v/>
      </c>
    </row>
    <row r="16">
      <c r="A16" t="inlineStr">
        <is>
          <t>(Optional) override pixel size (mm) - leave blank to use earlier pixel input</t>
        </is>
      </c>
      <c r="B16" t="inlineStr"/>
      <c r="D16" t="inlineStr">
        <is>
          <t>Required sensor pixels across (px)</t>
        </is>
      </c>
      <c r="E16">
        <f>IF(OR(B10&lt;=0, E15="Inf"), "#N/A", E15 / IF(B16&lt;&gt;"", B16, B10))</f>
        <v/>
      </c>
    </row>
    <row r="17">
      <c r="D17" t="inlineStr">
        <is>
          <t>Is magnification sufficient? (M_ach &gt;= M_req)</t>
        </is>
      </c>
      <c r="E17">
        <f>IF(OR(ISNUMBER(E13), ISNUMBER(E14)), IF(E14&gt;=E13, "Yes", "No"), "#N/A")</f>
        <v/>
      </c>
    </row>
    <row r="19">
      <c r="A19" t="inlineStr">
        <is>
          <t>Notes:</t>
        </is>
      </c>
    </row>
    <row r="20">
      <c r="A20" t="inlineStr">
        <is>
          <t>- Units: mm for distances, nm for wavelength. Change inputs in column B.</t>
        </is>
      </c>
    </row>
    <row r="21">
      <c r="A21" t="inlineStr">
        <is>
          <t>- Airy disk diameter is approximate: d = 2.44 * lambda * N.</t>
        </is>
      </c>
    </row>
    <row r="22">
      <c r="A22" t="inlineStr">
        <is>
          <t>- Hyperfocal and DOF formulas assume thin-lens approximation.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2025-11-13T07:46:53Z</dcterms:created>
  <dcterms:modified xmlns:dcterms="http://purl.org/dc/terms/" xmlns:xsi="http://www.w3.org/2001/XMLSchema-instance" xsi:type="dcterms:W3CDTF">2025-11-13T07:46:53Z</dcterms:modified>
</cp:coreProperties>
</file>